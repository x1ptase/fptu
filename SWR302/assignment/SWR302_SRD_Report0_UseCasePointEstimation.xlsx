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D:\Snake\FU\Teach\Material\SWR302\Assignment\Reference\"/>
    </mc:Choice>
  </mc:AlternateContent>
  <bookViews>
    <workbookView xWindow="-96" yWindow="-96" windowWidth="19392" windowHeight="10392" tabRatio="804"/>
  </bookViews>
  <sheets>
    <sheet name="Actor-Usecase" sheetId="5" r:id="rId1"/>
    <sheet name="UCP Estimate" sheetId="4" r:id="rId2"/>
    <sheet name="References" sheetId="6" r:id="rId3"/>
  </sheets>
  <definedNames>
    <definedName name="_xlnm._FilterDatabase" localSheetId="0" hidden="1">'Actor-Usecase'!$A$10:$F$22</definedName>
    <definedName name="actor_diff">References!$B$5:$B$7</definedName>
    <definedName name="actor_multi">References!$B$5:$C$7</definedName>
    <definedName name="actor_name">'Actor-Usecase'!$B$13:$B$22</definedName>
    <definedName name="actor_table">'Actor-Usecase'!$B$13:$D$22</definedName>
    <definedName name="ecf">'UCP Estimate'!$D$31</definedName>
    <definedName name="effort">'UCP Estimate'!$C$34</definedName>
    <definedName name="moscow_list">References!$B$19:$C$22</definedName>
    <definedName name="priority_list">References!$B$19:$B$22</definedName>
    <definedName name="tcf">'UCP Estimate'!$D$19</definedName>
    <definedName name="uaw">'Actor-Usecase'!$D$11</definedName>
    <definedName name="ucp">'UCP Estimate'!$C$33</definedName>
    <definedName name="usecase_diff">References!$B$12:$B$14</definedName>
    <definedName name="usecase_multi">References!$B$12:$C$14</definedName>
    <definedName name="uucw">'Actor-Usecase'!$D$25</definedName>
  </definedNames>
  <calcPr calcId="162913"/>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D14" i="5" l="1"/>
  <c r="D15" i="5"/>
  <c r="D16" i="5"/>
  <c r="D17" i="5"/>
  <c r="D18" i="5"/>
  <c r="D19" i="5"/>
  <c r="D20" i="5"/>
  <c r="D21" i="5"/>
  <c r="D22" i="5"/>
  <c r="D13" i="5"/>
  <c r="F27" i="5" l="1"/>
  <c r="F28" i="5"/>
  <c r="F29" i="5"/>
  <c r="F30" i="5"/>
  <c r="F31" i="5"/>
  <c r="F32" i="5"/>
  <c r="F33" i="5"/>
  <c r="F34" i="5"/>
  <c r="F35" i="5"/>
  <c r="F36" i="5"/>
  <c r="F37" i="5"/>
  <c r="F38" i="5"/>
  <c r="F39" i="5"/>
  <c r="F40" i="5"/>
  <c r="F41" i="5"/>
  <c r="F42" i="5"/>
  <c r="F43" i="5"/>
  <c r="F44" i="5"/>
  <c r="F45" i="5"/>
  <c r="F46" i="5"/>
  <c r="F47" i="5"/>
  <c r="F48" i="5"/>
  <c r="F49" i="5"/>
  <c r="F50" i="5"/>
  <c r="F51" i="5"/>
  <c r="F52" i="5"/>
  <c r="F53" i="5"/>
  <c r="F54" i="5"/>
  <c r="F55" i="5"/>
  <c r="F56" i="5"/>
  <c r="F57" i="5"/>
  <c r="F58" i="5"/>
  <c r="F59" i="5"/>
  <c r="F60" i="5"/>
  <c r="F61" i="5"/>
  <c r="F62" i="5"/>
  <c r="F63" i="5"/>
  <c r="F64" i="5"/>
  <c r="F65" i="5"/>
  <c r="F66" i="5"/>
  <c r="F67" i="5"/>
  <c r="F68" i="5"/>
  <c r="F69" i="5"/>
  <c r="F70" i="5"/>
  <c r="F71" i="5"/>
  <c r="F72" i="5"/>
  <c r="F73" i="5"/>
  <c r="F74" i="5"/>
  <c r="F75" i="5"/>
  <c r="F76" i="5"/>
  <c r="F77" i="5"/>
  <c r="F78" i="5"/>
  <c r="F79" i="5"/>
  <c r="F80" i="5"/>
  <c r="F81" i="5"/>
  <c r="F82" i="5"/>
  <c r="F83" i="5"/>
  <c r="F84" i="5"/>
  <c r="F85" i="5"/>
  <c r="F86" i="5"/>
  <c r="F87" i="5"/>
  <c r="F88" i="5"/>
  <c r="F89" i="5"/>
  <c r="F90" i="5"/>
  <c r="F91" i="5"/>
  <c r="F92" i="5"/>
  <c r="F93" i="5"/>
  <c r="F94" i="5"/>
  <c r="F95" i="5"/>
  <c r="F96" i="5"/>
  <c r="F97" i="5"/>
  <c r="F98" i="5"/>
  <c r="F99" i="5"/>
  <c r="F100" i="5"/>
  <c r="F101" i="5"/>
  <c r="F102" i="5"/>
  <c r="F103" i="5"/>
  <c r="F104" i="5"/>
  <c r="F105" i="5"/>
  <c r="F106" i="5"/>
  <c r="A14" i="5"/>
  <c r="A15" i="5" s="1"/>
  <c r="A16" i="5" s="1"/>
  <c r="A17" i="5" s="1"/>
  <c r="A18" i="5" s="1"/>
  <c r="A19" i="5" s="1"/>
  <c r="A20" i="5" s="1"/>
  <c r="A21" i="5" s="1"/>
  <c r="A22" i="5" s="1"/>
  <c r="D25" i="5" l="1"/>
  <c r="D6" i="5" s="1"/>
  <c r="D11" i="5"/>
  <c r="D5" i="5" l="1"/>
  <c r="D22" i="4" l="1"/>
  <c r="D25" i="4"/>
  <c r="D4" i="4"/>
  <c r="D5" i="4"/>
  <c r="D7" i="4"/>
  <c r="D13" i="4"/>
  <c r="D14" i="4"/>
  <c r="D15" i="4"/>
  <c r="D3" i="4"/>
  <c r="D6" i="4"/>
  <c r="D8" i="4"/>
  <c r="D9" i="4"/>
  <c r="D10" i="4"/>
  <c r="D11" i="4"/>
  <c r="D12" i="4"/>
  <c r="D23" i="4"/>
  <c r="D24" i="4"/>
  <c r="D26" i="4"/>
  <c r="D27" i="4"/>
  <c r="D28" i="4"/>
  <c r="D29" i="4"/>
  <c r="D16" i="4" l="1"/>
  <c r="D19" i="4" s="1"/>
  <c r="D7" i="5" s="1"/>
  <c r="D30" i="4"/>
  <c r="D31" i="4" s="1"/>
  <c r="D8" i="5" l="1"/>
  <c r="C33" i="4"/>
  <c r="C34" i="4" l="1"/>
  <c r="F5" i="5"/>
  <c r="F8" i="5" l="1"/>
  <c r="F6" i="5"/>
</calcChain>
</file>

<file path=xl/comments1.xml><?xml version="1.0" encoding="utf-8"?>
<comments xmlns="http://schemas.openxmlformats.org/spreadsheetml/2006/main">
  <authors>
    <author>Admin</author>
  </authors>
  <commentList>
    <comment ref="E26" authorId="0" shapeId="0">
      <text>
        <r>
          <rPr>
            <b/>
            <sz val="9"/>
            <color indexed="81"/>
            <rFont val="Tahoma"/>
            <family val="2"/>
          </rPr>
          <t xml:space="preserve">Admin:
More detail in references sheet </t>
        </r>
      </text>
    </comment>
  </commentList>
</comments>
</file>

<file path=xl/sharedStrings.xml><?xml version="1.0" encoding="utf-8"?>
<sst xmlns="http://schemas.openxmlformats.org/spreadsheetml/2006/main" count="113" uniqueCount="92">
  <si>
    <t>Simple</t>
  </si>
  <si>
    <t>Average</t>
  </si>
  <si>
    <t>Complex</t>
  </si>
  <si>
    <t>Description</t>
  </si>
  <si>
    <t>Weight</t>
  </si>
  <si>
    <t>Score</t>
  </si>
  <si>
    <t>T13 Special User Training Facilities Are Required</t>
  </si>
  <si>
    <t xml:space="preserve">T1 Distributed System </t>
  </si>
  <si>
    <t xml:space="preserve">T2 Performance </t>
  </si>
  <si>
    <t xml:space="preserve">T3 End User Efficiency </t>
  </si>
  <si>
    <t xml:space="preserve">T4 Complex Internal Processing </t>
  </si>
  <si>
    <t xml:space="preserve">T5 Reusability </t>
  </si>
  <si>
    <t xml:space="preserve">T6 Easy to Install </t>
  </si>
  <si>
    <t xml:space="preserve">T7 Easy to Use </t>
  </si>
  <si>
    <t xml:space="preserve">T8 Portability </t>
  </si>
  <si>
    <t xml:space="preserve">T9 Easy to Change </t>
  </si>
  <si>
    <t xml:space="preserve">T10 Concurrency </t>
  </si>
  <si>
    <t xml:space="preserve">T11 Special Security Features </t>
  </si>
  <si>
    <t>T12 Provides Direct Access for Third Parties</t>
  </si>
  <si>
    <t xml:space="preserve">E8 Stable Requirements </t>
  </si>
  <si>
    <t>E1 Familiarity With UML</t>
  </si>
  <si>
    <t xml:space="preserve">E2 Part-Time Workers </t>
  </si>
  <si>
    <t xml:space="preserve">E3 Analyst Capability </t>
  </si>
  <si>
    <t xml:space="preserve">E4 Application Experience </t>
  </si>
  <si>
    <t xml:space="preserve">E5 Object-Oriented Experience </t>
  </si>
  <si>
    <t xml:space="preserve">E6 Motivation </t>
  </si>
  <si>
    <t xml:space="preserve">E7 Difficult Programming Language </t>
  </si>
  <si>
    <t>Sum (ETF)</t>
  </si>
  <si>
    <t>PF (Historical based average man hours per use case point)</t>
  </si>
  <si>
    <t xml:space="preserve">Sum </t>
  </si>
  <si>
    <t>Complexity Factor</t>
  </si>
  <si>
    <t>C2</t>
  </si>
  <si>
    <t>TCF</t>
  </si>
  <si>
    <t>ECF = 1.4 +(-0.03 * Environmental Total Factor)</t>
  </si>
  <si>
    <t>Technical Factor</t>
  </si>
  <si>
    <t>Environmental Factor</t>
  </si>
  <si>
    <t>Relevance 0-5</t>
  </si>
  <si>
    <t>Impacte 0-5</t>
  </si>
  <si>
    <t xml:space="preserve"> </t>
  </si>
  <si>
    <t>Multiplier</t>
  </si>
  <si>
    <t>Simple actors are other systems that communicate with your software via a pre-defined API. An API could be exposed through a dll, or as a REST, SOAP, or any web-service API or remote procedure call (RPC). The key element is that you are exposing interaction with your software through a specific, well-defined mechanism.</t>
  </si>
  <si>
    <t>Average actors can either be human beings interacting in a well defined protocol, or they could be systems that interact through a more complex or flexible API.</t>
  </si>
  <si>
    <t>The original definition of complex actors specifies that users who interact with the software through a graphical user interface are complex actors. While that is true, the same classifcation should apply to users who interact with the system in unpredictable ways. An AJAX interface that exposes more of the underlying application (and data stores) than would be available through a rigid protocol might introduce similar complexity.</t>
  </si>
  <si>
    <t>Difficulty</t>
  </si>
  <si>
    <t>No</t>
  </si>
  <si>
    <t>Simple Use Case - up to 3 transactions.</t>
  </si>
  <si>
    <t>Average Use Case - 4 to 7 transactions.</t>
  </si>
  <si>
    <t>Complex Use Case - more than 7 transactions.</t>
  </si>
  <si>
    <t>Actor Name</t>
  </si>
  <si>
    <t xml:space="preserve">Description </t>
  </si>
  <si>
    <t xml:space="preserve">I. Actor List </t>
  </si>
  <si>
    <t>II. Usecase List</t>
  </si>
  <si>
    <t>Actor</t>
  </si>
  <si>
    <t>Unadjusted Actor Weight (UAW)</t>
  </si>
  <si>
    <t xml:space="preserve">Difficulty </t>
  </si>
  <si>
    <t xml:space="preserve">I. Actor </t>
  </si>
  <si>
    <t>UC Name</t>
  </si>
  <si>
    <t>Unadjusted Use-Case Weight (UUCW)</t>
  </si>
  <si>
    <t>Admin</t>
  </si>
  <si>
    <t>Type</t>
  </si>
  <si>
    <t>Priority</t>
  </si>
  <si>
    <t xml:space="preserve">II. Usecase </t>
  </si>
  <si>
    <t>III. MoSCoW Prioritisation</t>
  </si>
  <si>
    <t>Rules</t>
  </si>
  <si>
    <t>Must Have</t>
  </si>
  <si>
    <t>Should Have</t>
  </si>
  <si>
    <t>Could Have</t>
  </si>
  <si>
    <t>Won’t Have this time</t>
  </si>
  <si>
    <r>
      <t xml:space="preserve">Requirements labelled as Must have are critical to the current delivery timebox in order for it to be a success. If </t>
    </r>
    <r>
      <rPr>
        <b/>
        <sz val="10"/>
        <rFont val="Arial"/>
        <family val="2"/>
      </rPr>
      <t>even one</t>
    </r>
    <r>
      <rPr>
        <sz val="10"/>
        <rFont val="Arial"/>
        <family val="2"/>
      </rPr>
      <t xml:space="preserve"> Must have requirement </t>
    </r>
    <r>
      <rPr>
        <b/>
        <sz val="10"/>
        <rFont val="Arial"/>
        <family val="2"/>
      </rPr>
      <t>is not included</t>
    </r>
    <r>
      <rPr>
        <sz val="10"/>
        <rFont val="Arial"/>
        <family val="2"/>
      </rPr>
      <t xml:space="preserve">, the project delivery should be considered a </t>
    </r>
    <r>
      <rPr>
        <b/>
        <sz val="10"/>
        <rFont val="Arial"/>
        <family val="2"/>
      </rPr>
      <t>failure</t>
    </r>
  </si>
  <si>
    <t>Requirements labelled as Should have are important but not necessary for delivery in the current delivery timebox.</t>
  </si>
  <si>
    <t>Requirements labelled as Could have are desirable but not necessary and could improve the user experience or customer satisfaction for a little development cost.</t>
  </si>
  <si>
    <t>Requirements labelled as Won't have, have been agreed by stakeholders as the least-critical, lowest-payback items, or not appropriate at that time.</t>
  </si>
  <si>
    <t>High</t>
  </si>
  <si>
    <t>Medium</t>
  </si>
  <si>
    <t>Low</t>
  </si>
  <si>
    <t>Estimation Usecase Point (UCP = UUCP * TCF * ECF)</t>
  </si>
  <si>
    <t>Estimation Effort (manhours)</t>
  </si>
  <si>
    <t xml:space="preserve">USESCASE POINT ESTIMATION </t>
  </si>
  <si>
    <t>Project Code</t>
  </si>
  <si>
    <t>Project Name</t>
  </si>
  <si>
    <t>Supervisor</t>
  </si>
  <si>
    <t>Customer</t>
  </si>
  <si>
    <t xml:space="preserve">I. Summary </t>
  </si>
  <si>
    <t>Technical Complexity Factor (TCF)</t>
  </si>
  <si>
    <t>Environmental Complexity Factor (ECF)</t>
  </si>
  <si>
    <t xml:space="preserve">Total UCP </t>
  </si>
  <si>
    <t>Estinmation Effort (manhour)</t>
  </si>
  <si>
    <t xml:space="preserve">Number of Member </t>
  </si>
  <si>
    <t>Average Effort for each member</t>
  </si>
  <si>
    <t>Very Low</t>
  </si>
  <si>
    <t>Create users</t>
  </si>
  <si>
    <t>manhour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</si>
</sst>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5" formatCode="0;\-0;;@"/>
  </numFmts>
  <fonts count="8" x14ac:knownFonts="1">
    <font>
      <sz val="10"/>
      <name val="Arial"/>
    </font>
    <font>
      <sz val="8"/>
      <name val="Arial"/>
      <family val="2"/>
    </font>
    <font>
      <b/>
      <i/>
      <sz val="10"/>
      <name val="Arial"/>
      <family val="2"/>
    </font>
    <font>
      <b/>
      <sz val="12"/>
      <name val="Arial"/>
      <family val="2"/>
    </font>
    <font>
      <b/>
      <sz val="10"/>
      <name val="Arial"/>
      <family val="2"/>
    </font>
    <font>
      <sz val="10"/>
      <name val="Arial"/>
      <family val="2"/>
    </font>
    <font>
      <b/>
      <sz val="12"/>
      <color indexed="9"/>
      <name val="Arial"/>
      <family val="2"/>
    </font>
    <font>
      <b/>
      <sz val="9"/>
      <color indexed="81"/>
      <name val="Tahoma"/>
      <family val="2"/>
    </font>
  </fonts>
  <fills count="10">
    <fill>
      <patternFill patternType="none"/>
    </fill>
    <fill>
      <patternFill patternType="gray125"/>
    </fill>
    <fill>
      <patternFill patternType="solid">
        <fgColor theme="3" tint="0.39997558519241921"/>
        <bgColor indexed="64"/>
      </patternFill>
    </fill>
    <fill>
      <patternFill patternType="solid">
        <fgColor rgb="FFFFC000"/>
        <bgColor indexed="64"/>
      </patternFill>
    </fill>
    <fill>
      <patternFill patternType="solid">
        <fgColor theme="4"/>
        <bgColor indexed="64"/>
      </patternFill>
    </fill>
    <fill>
      <patternFill patternType="solid">
        <fgColor indexed="43"/>
        <bgColor indexed="64"/>
      </patternFill>
    </fill>
    <fill>
      <patternFill patternType="solid">
        <fgColor theme="9"/>
        <bgColor indexed="64"/>
      </patternFill>
    </fill>
    <fill>
      <patternFill patternType="solid">
        <fgColor rgb="FFFFFF00"/>
        <bgColor indexed="64"/>
      </patternFill>
    </fill>
    <fill>
      <patternFill patternType="solid">
        <fgColor theme="5"/>
        <bgColor indexed="64"/>
      </patternFill>
    </fill>
    <fill>
      <patternFill patternType="solid">
        <fgColor rgb="FF92D05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diagonal/>
    </border>
    <border>
      <left style="hair">
        <color auto="1"/>
      </left>
      <right style="hair">
        <color auto="1"/>
      </right>
      <top style="hair">
        <color auto="1"/>
      </top>
      <bottom style="hair">
        <color auto="1"/>
      </bottom>
      <diagonal/>
    </border>
  </borders>
  <cellStyleXfs count="1">
    <xf numFmtId="0" fontId="0" fillId="0" borderId="0"/>
  </cellStyleXfs>
  <cellXfs count="54">
    <xf numFmtId="0" fontId="0" fillId="0" borderId="0" xfId="0"/>
    <xf numFmtId="0" fontId="2" fillId="0" borderId="0" xfId="0" applyFont="1"/>
    <xf numFmtId="0" fontId="0" fillId="0" borderId="1" xfId="0" applyBorder="1"/>
    <xf numFmtId="0" fontId="0" fillId="0" borderId="1" xfId="0" applyFont="1" applyBorder="1"/>
    <xf numFmtId="0" fontId="0" fillId="0" borderId="2" xfId="0" applyFill="1" applyBorder="1"/>
    <xf numFmtId="0" fontId="2" fillId="2" borderId="1" xfId="0" applyFont="1" applyFill="1" applyBorder="1"/>
    <xf numFmtId="0" fontId="0" fillId="2" borderId="1" xfId="0" applyFill="1" applyBorder="1"/>
    <xf numFmtId="0" fontId="0" fillId="3" borderId="1" xfId="0" applyFill="1" applyBorder="1"/>
    <xf numFmtId="0" fontId="0" fillId="0" borderId="0" xfId="0" applyAlignment="1">
      <alignment wrapText="1"/>
    </xf>
    <xf numFmtId="0" fontId="4" fillId="4" borderId="0" xfId="0" applyFont="1" applyFill="1"/>
    <xf numFmtId="0" fontId="4" fillId="4" borderId="0" xfId="0" applyFont="1" applyFill="1" applyAlignment="1">
      <alignment horizontal="center" vertical="center"/>
    </xf>
    <xf numFmtId="0" fontId="5" fillId="0" borderId="0" xfId="0" applyFont="1"/>
    <xf numFmtId="0" fontId="4" fillId="0" borderId="0" xfId="0" applyFont="1"/>
    <xf numFmtId="0" fontId="3" fillId="0" borderId="0" xfId="0" applyFont="1"/>
    <xf numFmtId="0" fontId="3" fillId="8" borderId="2" xfId="0" applyFont="1" applyFill="1" applyBorder="1" applyAlignment="1">
      <alignment horizontal="center" vertical="center"/>
    </xf>
    <xf numFmtId="0" fontId="4" fillId="0" borderId="1" xfId="0" applyFont="1" applyBorder="1"/>
    <xf numFmtId="0" fontId="0" fillId="7" borderId="1" xfId="0" applyFill="1" applyBorder="1"/>
    <xf numFmtId="0" fontId="4" fillId="4" borderId="0" xfId="0" applyFont="1" applyFill="1" applyAlignment="1">
      <alignment wrapText="1"/>
    </xf>
    <xf numFmtId="0" fontId="5" fillId="0" borderId="0" xfId="0" applyFont="1" applyAlignment="1">
      <alignment wrapText="1"/>
    </xf>
    <xf numFmtId="0" fontId="0" fillId="0" borderId="0" xfId="0" applyAlignment="1"/>
    <xf numFmtId="0" fontId="5" fillId="0" borderId="0" xfId="0" applyFont="1" applyAlignment="1"/>
    <xf numFmtId="0" fontId="4" fillId="3" borderId="1" xfId="0" applyFont="1" applyFill="1" applyBorder="1"/>
    <xf numFmtId="164" fontId="2" fillId="9" borderId="0" xfId="0" applyNumberFormat="1" applyFont="1" applyFill="1"/>
    <xf numFmtId="1" fontId="4" fillId="9" borderId="0" xfId="0" applyNumberFormat="1" applyFont="1" applyFill="1"/>
    <xf numFmtId="0" fontId="0" fillId="0" borderId="0" xfId="0" applyFill="1"/>
    <xf numFmtId="0" fontId="0" fillId="0" borderId="0" xfId="0" applyFill="1" applyAlignment="1">
      <alignment horizontal="center"/>
    </xf>
    <xf numFmtId="0" fontId="4" fillId="0" borderId="0" xfId="0" applyFont="1" applyFill="1"/>
    <xf numFmtId="0" fontId="4" fillId="0" borderId="0" xfId="0" applyFont="1" applyFill="1" applyAlignment="1">
      <alignment horizontal="center"/>
    </xf>
    <xf numFmtId="0" fontId="3" fillId="0" borderId="0" xfId="0" applyFont="1" applyFill="1" applyBorder="1" applyAlignment="1">
      <alignment horizontal="center" vertical="center"/>
    </xf>
    <xf numFmtId="164" fontId="4" fillId="0" borderId="0" xfId="0" applyNumberFormat="1" applyFont="1" applyAlignment="1">
      <alignment horizontal="center"/>
    </xf>
    <xf numFmtId="1" fontId="4" fillId="0" borderId="0" xfId="0" applyNumberFormat="1" applyFont="1" applyAlignment="1">
      <alignment horizontal="center"/>
    </xf>
    <xf numFmtId="0" fontId="4" fillId="0" borderId="0" xfId="0" applyFont="1" applyAlignment="1">
      <alignment horizontal="center"/>
    </xf>
    <xf numFmtId="0" fontId="6" fillId="6" borderId="4" xfId="0" applyFont="1" applyFill="1" applyBorder="1" applyAlignment="1">
      <alignment vertical="center" wrapText="1"/>
    </xf>
    <xf numFmtId="0" fontId="6" fillId="6" borderId="4" xfId="0" applyFont="1" applyFill="1" applyBorder="1" applyAlignment="1">
      <alignment horizontal="center" vertical="center"/>
    </xf>
    <xf numFmtId="0" fontId="0" fillId="0" borderId="4" xfId="0" applyBorder="1"/>
    <xf numFmtId="0" fontId="5" fillId="0" borderId="4" xfId="0" applyFont="1" applyBorder="1"/>
    <xf numFmtId="0" fontId="5" fillId="5" borderId="4" xfId="0" applyFont="1" applyFill="1" applyBorder="1" applyAlignment="1">
      <alignment horizontal="center" vertical="center" wrapText="1"/>
    </xf>
    <xf numFmtId="0" fontId="5" fillId="0" borderId="4" xfId="0" applyFont="1" applyFill="1" applyBorder="1" applyAlignment="1">
      <alignment horizontal="center" vertical="center" wrapText="1"/>
    </xf>
    <xf numFmtId="165" fontId="0" fillId="0" borderId="4" xfId="0" applyNumberFormat="1" applyBorder="1"/>
    <xf numFmtId="0" fontId="6" fillId="6" borderId="4" xfId="0" applyFont="1" applyFill="1" applyBorder="1" applyAlignment="1">
      <alignment vertical="center"/>
    </xf>
    <xf numFmtId="0" fontId="0" fillId="0" borderId="4" xfId="0" applyBorder="1" applyAlignment="1">
      <alignment horizontal="center" vertical="center"/>
    </xf>
    <xf numFmtId="0" fontId="5" fillId="0" borderId="4" xfId="0" applyFont="1" applyFill="1" applyBorder="1" applyAlignment="1">
      <alignment vertical="center" wrapText="1"/>
    </xf>
    <xf numFmtId="165" fontId="0" fillId="0" borderId="4" xfId="0" applyNumberFormat="1" applyBorder="1" applyAlignment="1">
      <alignment horizontal="center" vertical="center"/>
    </xf>
    <xf numFmtId="0" fontId="0" fillId="0" borderId="4" xfId="0" applyFill="1" applyBorder="1" applyAlignment="1">
      <alignment vertical="center" wrapText="1"/>
    </xf>
    <xf numFmtId="0" fontId="4" fillId="0" borderId="0" xfId="0" applyFont="1" applyBorder="1" applyAlignment="1">
      <alignment horizontal="center"/>
    </xf>
    <xf numFmtId="0" fontId="4" fillId="0" borderId="3" xfId="0" applyFont="1" applyBorder="1" applyAlignment="1">
      <alignment horizontal="center"/>
    </xf>
    <xf numFmtId="0" fontId="0" fillId="0" borderId="0" xfId="0" applyFill="1" applyAlignment="1">
      <alignment horizontal="left"/>
    </xf>
    <xf numFmtId="0" fontId="5" fillId="0" borderId="0" xfId="0" applyFont="1" applyAlignment="1">
      <alignment horizontal="left"/>
    </xf>
    <xf numFmtId="0" fontId="0" fillId="0" borderId="0" xfId="0" applyAlignment="1">
      <alignment horizontal="left"/>
    </xf>
    <xf numFmtId="0" fontId="5" fillId="0" borderId="0" xfId="0" applyFont="1" applyFill="1" applyAlignment="1">
      <alignment horizontal="left"/>
    </xf>
    <xf numFmtId="0" fontId="0" fillId="0" borderId="4" xfId="0" applyFill="1" applyBorder="1" applyAlignment="1">
      <alignment horizontal="center" vertical="center" wrapText="1"/>
    </xf>
    <xf numFmtId="0" fontId="4" fillId="0" borderId="0" xfId="0" applyFont="1" applyAlignment="1">
      <alignment horizontal="center"/>
    </xf>
    <xf numFmtId="0" fontId="4" fillId="0" borderId="0" xfId="0" applyFont="1" applyFill="1" applyAlignment="1">
      <alignment horizontal="center"/>
    </xf>
    <xf numFmtId="0" fontId="6" fillId="6" borderId="4"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G106"/>
  <sheetViews>
    <sheetView tabSelected="1" workbookViewId="0"/>
  </sheetViews>
  <sheetFormatPr defaultRowHeight="13.2" x14ac:dyDescent="0.25"/>
  <cols>
    <col min="1" max="1" width="14.21875" customWidth="1"/>
    <col min="2" max="2" width="16.44140625" customWidth="1"/>
    <col min="3" max="3" width="16.5546875" customWidth="1"/>
    <col min="4" max="4" width="17.33203125" customWidth="1"/>
    <col min="5" max="5" width="23.44140625" customWidth="1"/>
    <col min="6" max="6" width="13.77734375" customWidth="1"/>
    <col min="7" max="7" width="42.44140625" customWidth="1"/>
    <col min="8" max="8" width="15.21875" customWidth="1"/>
  </cols>
  <sheetData>
    <row r="1" spans="1:7" x14ac:dyDescent="0.25">
      <c r="B1" s="51" t="s">
        <v>77</v>
      </c>
      <c r="C1" s="51"/>
      <c r="D1" s="51"/>
      <c r="E1" s="51"/>
      <c r="F1" s="51"/>
    </row>
    <row r="2" spans="1:7" x14ac:dyDescent="0.25">
      <c r="A2" s="11" t="s">
        <v>78</v>
      </c>
      <c r="B2" s="26"/>
      <c r="C2" s="24"/>
      <c r="D2" s="24"/>
      <c r="E2" s="11" t="s">
        <v>80</v>
      </c>
    </row>
    <row r="3" spans="1:7" x14ac:dyDescent="0.25">
      <c r="A3" s="11" t="s">
        <v>79</v>
      </c>
      <c r="B3" s="52"/>
      <c r="C3" s="52"/>
      <c r="D3" s="52"/>
      <c r="E3" s="11" t="s">
        <v>81</v>
      </c>
    </row>
    <row r="4" spans="1:7" x14ac:dyDescent="0.25">
      <c r="A4" s="12" t="s">
        <v>82</v>
      </c>
      <c r="B4" s="27"/>
      <c r="C4" s="27"/>
      <c r="D4" s="27"/>
      <c r="E4" s="11"/>
    </row>
    <row r="5" spans="1:7" x14ac:dyDescent="0.25">
      <c r="A5" s="46" t="s">
        <v>53</v>
      </c>
      <c r="B5" s="46"/>
      <c r="C5" s="46"/>
      <c r="D5" s="27">
        <f>uaw</f>
        <v>0</v>
      </c>
      <c r="E5" s="11" t="s">
        <v>85</v>
      </c>
      <c r="F5" s="29">
        <f>ucp</f>
        <v>10.944999999999999</v>
      </c>
    </row>
    <row r="6" spans="1:7" x14ac:dyDescent="0.25">
      <c r="A6" s="46" t="s">
        <v>57</v>
      </c>
      <c r="B6" s="46"/>
      <c r="C6" s="46"/>
      <c r="D6" s="27">
        <f>uucw</f>
        <v>10</v>
      </c>
      <c r="E6" s="11" t="s">
        <v>86</v>
      </c>
      <c r="F6" s="30">
        <f>effort</f>
        <v>87.559999999999988</v>
      </c>
    </row>
    <row r="7" spans="1:7" x14ac:dyDescent="0.25">
      <c r="A7" s="47" t="s">
        <v>83</v>
      </c>
      <c r="B7" s="48"/>
      <c r="C7" s="48"/>
      <c r="D7" s="27">
        <f>tcf</f>
        <v>1.1000000000000001</v>
      </c>
      <c r="E7" s="11" t="s">
        <v>87</v>
      </c>
      <c r="F7" s="31">
        <v>5</v>
      </c>
    </row>
    <row r="8" spans="1:7" x14ac:dyDescent="0.25">
      <c r="A8" s="49" t="s">
        <v>84</v>
      </c>
      <c r="B8" s="46"/>
      <c r="C8" s="46"/>
      <c r="D8" s="27">
        <f>ecf</f>
        <v>0.99499999999999988</v>
      </c>
      <c r="E8" s="11" t="s">
        <v>88</v>
      </c>
      <c r="F8" s="29">
        <f>effort/F7</f>
        <v>17.511999999999997</v>
      </c>
    </row>
    <row r="9" spans="1:7" x14ac:dyDescent="0.25">
      <c r="A9" s="25"/>
      <c r="B9" s="25"/>
      <c r="C9" s="25"/>
      <c r="D9" s="25"/>
      <c r="E9" s="11"/>
    </row>
    <row r="10" spans="1:7" ht="15.6" x14ac:dyDescent="0.3">
      <c r="A10" s="13" t="s">
        <v>50</v>
      </c>
    </row>
    <row r="11" spans="1:7" ht="15.6" x14ac:dyDescent="0.25">
      <c r="A11" s="44" t="s">
        <v>53</v>
      </c>
      <c r="B11" s="44"/>
      <c r="C11" s="45"/>
      <c r="D11" s="14">
        <f>SUM(D13:D22)</f>
        <v>0</v>
      </c>
      <c r="E11" s="28"/>
    </row>
    <row r="12" spans="1:7" ht="15" customHeight="1" x14ac:dyDescent="0.25">
      <c r="A12" s="32" t="s">
        <v>44</v>
      </c>
      <c r="B12" s="32" t="s">
        <v>48</v>
      </c>
      <c r="C12" s="39" t="s">
        <v>43</v>
      </c>
      <c r="D12" s="33" t="s">
        <v>4</v>
      </c>
      <c r="E12" s="33" t="s">
        <v>59</v>
      </c>
      <c r="F12" s="53" t="s">
        <v>49</v>
      </c>
      <c r="G12" s="53"/>
    </row>
    <row r="13" spans="1:7" x14ac:dyDescent="0.25">
      <c r="A13" s="40">
        <v>1</v>
      </c>
      <c r="B13" s="41"/>
      <c r="C13" s="36"/>
      <c r="D13" s="42">
        <f>IFERROR(VLOOKUP(C13,References!$B$4:$C$7,2,FALSE),0)</f>
        <v>0</v>
      </c>
      <c r="E13" s="40"/>
      <c r="F13" s="50"/>
      <c r="G13" s="50"/>
    </row>
    <row r="14" spans="1:7" x14ac:dyDescent="0.25">
      <c r="A14" s="40">
        <f t="shared" ref="A14:A20" si="0">A13+1</f>
        <v>2</v>
      </c>
      <c r="B14" s="41"/>
      <c r="C14" s="36"/>
      <c r="D14" s="42">
        <f>IFERROR(VLOOKUP(C14,References!$B$4:$C$7,2,FALSE),0)</f>
        <v>0</v>
      </c>
      <c r="E14" s="40"/>
      <c r="F14" s="50"/>
      <c r="G14" s="50"/>
    </row>
    <row r="15" spans="1:7" x14ac:dyDescent="0.25">
      <c r="A15" s="40">
        <f t="shared" si="0"/>
        <v>3</v>
      </c>
      <c r="B15" s="43"/>
      <c r="C15" s="36"/>
      <c r="D15" s="42">
        <f>IFERROR(VLOOKUP(C15,References!$B$4:$C$7,2,FALSE),0)</f>
        <v>0</v>
      </c>
      <c r="E15" s="40"/>
      <c r="F15" s="50"/>
      <c r="G15" s="50"/>
    </row>
    <row r="16" spans="1:7" x14ac:dyDescent="0.25">
      <c r="A16" s="40">
        <f t="shared" si="0"/>
        <v>4</v>
      </c>
      <c r="B16" s="43"/>
      <c r="C16" s="36"/>
      <c r="D16" s="42">
        <f>IFERROR(VLOOKUP(C16,References!$B$4:$C$7,2,FALSE),0)</f>
        <v>0</v>
      </c>
      <c r="E16" s="40"/>
      <c r="F16" s="50"/>
      <c r="G16" s="50"/>
    </row>
    <row r="17" spans="1:7" x14ac:dyDescent="0.25">
      <c r="A17" s="40">
        <f t="shared" si="0"/>
        <v>5</v>
      </c>
      <c r="B17" s="43"/>
      <c r="C17" s="36"/>
      <c r="D17" s="42">
        <f>IFERROR(VLOOKUP(C17,References!$B$4:$C$7,2,FALSE),0)</f>
        <v>0</v>
      </c>
      <c r="E17" s="40"/>
      <c r="F17" s="50"/>
      <c r="G17" s="50"/>
    </row>
    <row r="18" spans="1:7" x14ac:dyDescent="0.25">
      <c r="A18" s="40">
        <f t="shared" si="0"/>
        <v>6</v>
      </c>
      <c r="B18" s="43"/>
      <c r="C18" s="36"/>
      <c r="D18" s="42">
        <f>IFERROR(VLOOKUP(C18,References!$B$4:$C$7,2,FALSE),0)</f>
        <v>0</v>
      </c>
      <c r="E18" s="40"/>
      <c r="F18" s="50"/>
      <c r="G18" s="50"/>
    </row>
    <row r="19" spans="1:7" x14ac:dyDescent="0.25">
      <c r="A19" s="40">
        <f t="shared" si="0"/>
        <v>7</v>
      </c>
      <c r="B19" s="43"/>
      <c r="C19" s="36"/>
      <c r="D19" s="42">
        <f>IFERROR(VLOOKUP(C19,References!$B$4:$C$7,2,FALSE),0)</f>
        <v>0</v>
      </c>
      <c r="E19" s="40"/>
      <c r="F19" s="50"/>
      <c r="G19" s="50"/>
    </row>
    <row r="20" spans="1:7" x14ac:dyDescent="0.25">
      <c r="A20" s="40">
        <f t="shared" si="0"/>
        <v>8</v>
      </c>
      <c r="B20" s="43"/>
      <c r="C20" s="36"/>
      <c r="D20" s="42">
        <f>IFERROR(VLOOKUP(C20,References!$B$4:$C$7,2,FALSE),0)</f>
        <v>0</v>
      </c>
      <c r="E20" s="40"/>
      <c r="F20" s="50"/>
      <c r="G20" s="50"/>
    </row>
    <row r="21" spans="1:7" x14ac:dyDescent="0.25">
      <c r="A21" s="40">
        <f t="shared" ref="A21:A22" si="1">A20+1</f>
        <v>9</v>
      </c>
      <c r="B21" s="43"/>
      <c r="C21" s="36"/>
      <c r="D21" s="42">
        <f>IFERROR(VLOOKUP(C21,References!$B$4:$C$7,2,FALSE),0)</f>
        <v>0</v>
      </c>
      <c r="E21" s="40"/>
      <c r="F21" s="50"/>
      <c r="G21" s="50"/>
    </row>
    <row r="22" spans="1:7" x14ac:dyDescent="0.25">
      <c r="A22" s="40">
        <f t="shared" si="1"/>
        <v>10</v>
      </c>
      <c r="B22" s="43"/>
      <c r="C22" s="36"/>
      <c r="D22" s="42">
        <f>IFERROR(VLOOKUP(C22,References!$B$4:$C$7,2,FALSE),0)</f>
        <v>0</v>
      </c>
      <c r="E22" s="40"/>
      <c r="F22" s="50"/>
      <c r="G22" s="50"/>
    </row>
    <row r="24" spans="1:7" ht="15.6" x14ac:dyDescent="0.3">
      <c r="A24" s="13" t="s">
        <v>51</v>
      </c>
    </row>
    <row r="25" spans="1:7" ht="15.6" x14ac:dyDescent="0.25">
      <c r="A25" s="44" t="s">
        <v>57</v>
      </c>
      <c r="B25" s="44"/>
      <c r="C25" s="45"/>
      <c r="D25" s="14">
        <f>SUM(F27:F106)</f>
        <v>10</v>
      </c>
      <c r="E25" s="28"/>
    </row>
    <row r="26" spans="1:7" ht="15.6" x14ac:dyDescent="0.25">
      <c r="A26" s="32" t="s">
        <v>44</v>
      </c>
      <c r="B26" s="32" t="s">
        <v>52</v>
      </c>
      <c r="C26" s="33" t="s">
        <v>56</v>
      </c>
      <c r="D26" s="33" t="s">
        <v>54</v>
      </c>
      <c r="E26" s="33" t="s">
        <v>60</v>
      </c>
      <c r="F26" s="33" t="s">
        <v>4</v>
      </c>
      <c r="G26" s="33" t="s">
        <v>3</v>
      </c>
    </row>
    <row r="27" spans="1:7" x14ac:dyDescent="0.25">
      <c r="A27" s="34">
        <v>1</v>
      </c>
      <c r="B27" s="35" t="s">
        <v>58</v>
      </c>
      <c r="C27" s="34" t="s">
        <v>90</v>
      </c>
      <c r="D27" s="36" t="s">
        <v>1</v>
      </c>
      <c r="E27" s="37"/>
      <c r="F27" s="38">
        <f>IFERROR(VLOOKUP(D27,usecase_multi,2,FALSE),0)</f>
        <v>10</v>
      </c>
      <c r="G27" s="34"/>
    </row>
    <row r="28" spans="1:7" x14ac:dyDescent="0.25">
      <c r="A28" s="34">
        <v>2</v>
      </c>
      <c r="B28" s="34"/>
      <c r="C28" s="34"/>
      <c r="D28" s="36"/>
      <c r="E28" s="37"/>
      <c r="F28" s="38">
        <f t="shared" ref="F28:F59" si="2">IFERROR(VLOOKUP(D28,usecase_multi,2,FALSE),)</f>
        <v>0</v>
      </c>
      <c r="G28" s="34"/>
    </row>
    <row r="29" spans="1:7" x14ac:dyDescent="0.25">
      <c r="A29" s="34">
        <v>3</v>
      </c>
      <c r="B29" s="34"/>
      <c r="C29" s="34"/>
      <c r="D29" s="36"/>
      <c r="E29" s="37"/>
      <c r="F29" s="38">
        <f t="shared" si="2"/>
        <v>0</v>
      </c>
      <c r="G29" s="34"/>
    </row>
    <row r="30" spans="1:7" x14ac:dyDescent="0.25">
      <c r="A30" s="34">
        <v>4</v>
      </c>
      <c r="B30" s="34"/>
      <c r="C30" s="34"/>
      <c r="D30" s="36"/>
      <c r="E30" s="37"/>
      <c r="F30" s="38">
        <f t="shared" si="2"/>
        <v>0</v>
      </c>
      <c r="G30" s="34"/>
    </row>
    <row r="31" spans="1:7" x14ac:dyDescent="0.25">
      <c r="A31" s="34">
        <v>5</v>
      </c>
      <c r="B31" s="34"/>
      <c r="C31" s="34"/>
      <c r="D31" s="36"/>
      <c r="E31" s="37"/>
      <c r="F31" s="38">
        <f t="shared" si="2"/>
        <v>0</v>
      </c>
      <c r="G31" s="34"/>
    </row>
    <row r="32" spans="1:7" x14ac:dyDescent="0.25">
      <c r="A32" s="34">
        <v>6</v>
      </c>
      <c r="B32" s="34"/>
      <c r="C32" s="34"/>
      <c r="D32" s="36"/>
      <c r="E32" s="37"/>
      <c r="F32" s="38">
        <f t="shared" si="2"/>
        <v>0</v>
      </c>
      <c r="G32" s="34"/>
    </row>
    <row r="33" spans="1:7" x14ac:dyDescent="0.25">
      <c r="A33" s="34">
        <v>7</v>
      </c>
      <c r="B33" s="34"/>
      <c r="C33" s="34"/>
      <c r="D33" s="36"/>
      <c r="E33" s="37"/>
      <c r="F33" s="38">
        <f t="shared" si="2"/>
        <v>0</v>
      </c>
      <c r="G33" s="34"/>
    </row>
    <row r="34" spans="1:7" x14ac:dyDescent="0.25">
      <c r="A34" s="34">
        <v>8</v>
      </c>
      <c r="B34" s="34"/>
      <c r="C34" s="34"/>
      <c r="D34" s="36"/>
      <c r="E34" s="37"/>
      <c r="F34" s="38">
        <f t="shared" si="2"/>
        <v>0</v>
      </c>
      <c r="G34" s="34"/>
    </row>
    <row r="35" spans="1:7" x14ac:dyDescent="0.25">
      <c r="A35" s="34">
        <v>9</v>
      </c>
      <c r="B35" s="34"/>
      <c r="C35" s="34"/>
      <c r="D35" s="36"/>
      <c r="E35" s="37"/>
      <c r="F35" s="38">
        <f t="shared" si="2"/>
        <v>0</v>
      </c>
      <c r="G35" s="34"/>
    </row>
    <row r="36" spans="1:7" x14ac:dyDescent="0.25">
      <c r="A36" s="34">
        <v>10</v>
      </c>
      <c r="B36" s="34"/>
      <c r="C36" s="34"/>
      <c r="D36" s="36"/>
      <c r="E36" s="37"/>
      <c r="F36" s="38">
        <f t="shared" si="2"/>
        <v>0</v>
      </c>
      <c r="G36" s="34"/>
    </row>
    <row r="37" spans="1:7" x14ac:dyDescent="0.25">
      <c r="A37" s="34">
        <v>11</v>
      </c>
      <c r="B37" s="34"/>
      <c r="C37" s="34"/>
      <c r="D37" s="36"/>
      <c r="E37" s="37"/>
      <c r="F37" s="38">
        <f t="shared" si="2"/>
        <v>0</v>
      </c>
      <c r="G37" s="34"/>
    </row>
    <row r="38" spans="1:7" x14ac:dyDescent="0.25">
      <c r="A38" s="34">
        <v>12</v>
      </c>
      <c r="B38" s="34"/>
      <c r="C38" s="34"/>
      <c r="D38" s="36"/>
      <c r="E38" s="37"/>
      <c r="F38" s="38">
        <f t="shared" si="2"/>
        <v>0</v>
      </c>
      <c r="G38" s="34"/>
    </row>
    <row r="39" spans="1:7" x14ac:dyDescent="0.25">
      <c r="A39" s="34">
        <v>13</v>
      </c>
      <c r="B39" s="34"/>
      <c r="C39" s="34"/>
      <c r="D39" s="36"/>
      <c r="E39" s="37"/>
      <c r="F39" s="38">
        <f t="shared" si="2"/>
        <v>0</v>
      </c>
      <c r="G39" s="34"/>
    </row>
    <row r="40" spans="1:7" x14ac:dyDescent="0.25">
      <c r="A40" s="34">
        <v>14</v>
      </c>
      <c r="B40" s="34"/>
      <c r="C40" s="34"/>
      <c r="D40" s="36"/>
      <c r="E40" s="37"/>
      <c r="F40" s="38">
        <f t="shared" si="2"/>
        <v>0</v>
      </c>
      <c r="G40" s="34"/>
    </row>
    <row r="41" spans="1:7" x14ac:dyDescent="0.25">
      <c r="A41" s="34">
        <v>15</v>
      </c>
      <c r="B41" s="34"/>
      <c r="C41" s="34"/>
      <c r="D41" s="36"/>
      <c r="E41" s="37"/>
      <c r="F41" s="38">
        <f t="shared" si="2"/>
        <v>0</v>
      </c>
      <c r="G41" s="34"/>
    </row>
    <row r="42" spans="1:7" x14ac:dyDescent="0.25">
      <c r="A42" s="34">
        <v>16</v>
      </c>
      <c r="B42" s="34"/>
      <c r="C42" s="34"/>
      <c r="D42" s="36"/>
      <c r="E42" s="37"/>
      <c r="F42" s="38">
        <f t="shared" si="2"/>
        <v>0</v>
      </c>
      <c r="G42" s="34"/>
    </row>
    <row r="43" spans="1:7" x14ac:dyDescent="0.25">
      <c r="A43" s="34">
        <v>17</v>
      </c>
      <c r="B43" s="34"/>
      <c r="C43" s="34"/>
      <c r="D43" s="36"/>
      <c r="E43" s="37"/>
      <c r="F43" s="38">
        <f t="shared" si="2"/>
        <v>0</v>
      </c>
      <c r="G43" s="34"/>
    </row>
    <row r="44" spans="1:7" x14ac:dyDescent="0.25">
      <c r="A44" s="34">
        <v>18</v>
      </c>
      <c r="B44" s="34"/>
      <c r="C44" s="34"/>
      <c r="D44" s="36"/>
      <c r="E44" s="37"/>
      <c r="F44" s="38">
        <f t="shared" si="2"/>
        <v>0</v>
      </c>
      <c r="G44" s="34"/>
    </row>
    <row r="45" spans="1:7" x14ac:dyDescent="0.25">
      <c r="A45" s="34">
        <v>19</v>
      </c>
      <c r="B45" s="34"/>
      <c r="C45" s="34"/>
      <c r="D45" s="36"/>
      <c r="E45" s="37"/>
      <c r="F45" s="38">
        <f t="shared" si="2"/>
        <v>0</v>
      </c>
      <c r="G45" s="34"/>
    </row>
    <row r="46" spans="1:7" x14ac:dyDescent="0.25">
      <c r="A46" s="34">
        <v>20</v>
      </c>
      <c r="B46" s="34"/>
      <c r="C46" s="34"/>
      <c r="D46" s="36"/>
      <c r="E46" s="37"/>
      <c r="F46" s="38">
        <f t="shared" si="2"/>
        <v>0</v>
      </c>
      <c r="G46" s="34"/>
    </row>
    <row r="47" spans="1:7" x14ac:dyDescent="0.25">
      <c r="A47" s="34">
        <v>21</v>
      </c>
      <c r="B47" s="34"/>
      <c r="C47" s="34"/>
      <c r="D47" s="36"/>
      <c r="E47" s="37"/>
      <c r="F47" s="38">
        <f t="shared" si="2"/>
        <v>0</v>
      </c>
      <c r="G47" s="34"/>
    </row>
    <row r="48" spans="1:7" x14ac:dyDescent="0.25">
      <c r="A48" s="34">
        <v>22</v>
      </c>
      <c r="B48" s="34"/>
      <c r="C48" s="34"/>
      <c r="D48" s="36"/>
      <c r="E48" s="37"/>
      <c r="F48" s="38">
        <f t="shared" si="2"/>
        <v>0</v>
      </c>
      <c r="G48" s="34"/>
    </row>
    <row r="49" spans="1:7" x14ac:dyDescent="0.25">
      <c r="A49" s="34">
        <v>23</v>
      </c>
      <c r="B49" s="34"/>
      <c r="C49" s="34"/>
      <c r="D49" s="36"/>
      <c r="E49" s="37"/>
      <c r="F49" s="38">
        <f t="shared" si="2"/>
        <v>0</v>
      </c>
      <c r="G49" s="34"/>
    </row>
    <row r="50" spans="1:7" x14ac:dyDescent="0.25">
      <c r="A50" s="34">
        <v>24</v>
      </c>
      <c r="B50" s="34"/>
      <c r="C50" s="34"/>
      <c r="D50" s="36"/>
      <c r="E50" s="37"/>
      <c r="F50" s="38">
        <f t="shared" si="2"/>
        <v>0</v>
      </c>
      <c r="G50" s="34"/>
    </row>
    <row r="51" spans="1:7" x14ac:dyDescent="0.25">
      <c r="A51" s="34">
        <v>25</v>
      </c>
      <c r="B51" s="34"/>
      <c r="C51" s="34"/>
      <c r="D51" s="36"/>
      <c r="E51" s="37"/>
      <c r="F51" s="38">
        <f t="shared" si="2"/>
        <v>0</v>
      </c>
      <c r="G51" s="34"/>
    </row>
    <row r="52" spans="1:7" x14ac:dyDescent="0.25">
      <c r="A52" s="34">
        <v>26</v>
      </c>
      <c r="B52" s="34"/>
      <c r="C52" s="34"/>
      <c r="D52" s="36"/>
      <c r="E52" s="37"/>
      <c r="F52" s="38">
        <f t="shared" si="2"/>
        <v>0</v>
      </c>
      <c r="G52" s="34"/>
    </row>
    <row r="53" spans="1:7" x14ac:dyDescent="0.25">
      <c r="A53" s="34">
        <v>27</v>
      </c>
      <c r="B53" s="34"/>
      <c r="C53" s="34"/>
      <c r="D53" s="36"/>
      <c r="E53" s="37"/>
      <c r="F53" s="38">
        <f t="shared" si="2"/>
        <v>0</v>
      </c>
      <c r="G53" s="34"/>
    </row>
    <row r="54" spans="1:7" x14ac:dyDescent="0.25">
      <c r="A54" s="34">
        <v>28</v>
      </c>
      <c r="B54" s="34"/>
      <c r="C54" s="34"/>
      <c r="D54" s="36"/>
      <c r="E54" s="37"/>
      <c r="F54" s="38">
        <f t="shared" si="2"/>
        <v>0</v>
      </c>
      <c r="G54" s="34"/>
    </row>
    <row r="55" spans="1:7" x14ac:dyDescent="0.25">
      <c r="A55" s="34">
        <v>29</v>
      </c>
      <c r="B55" s="34"/>
      <c r="C55" s="34"/>
      <c r="D55" s="36"/>
      <c r="E55" s="37"/>
      <c r="F55" s="38">
        <f t="shared" si="2"/>
        <v>0</v>
      </c>
      <c r="G55" s="34"/>
    </row>
    <row r="56" spans="1:7" x14ac:dyDescent="0.25">
      <c r="A56" s="34">
        <v>30</v>
      </c>
      <c r="B56" s="34"/>
      <c r="C56" s="34"/>
      <c r="D56" s="36"/>
      <c r="E56" s="37"/>
      <c r="F56" s="38">
        <f t="shared" si="2"/>
        <v>0</v>
      </c>
      <c r="G56" s="34"/>
    </row>
    <row r="57" spans="1:7" x14ac:dyDescent="0.25">
      <c r="A57" s="34">
        <v>31</v>
      </c>
      <c r="B57" s="34"/>
      <c r="C57" s="34"/>
      <c r="D57" s="36"/>
      <c r="E57" s="37"/>
      <c r="F57" s="38">
        <f t="shared" si="2"/>
        <v>0</v>
      </c>
      <c r="G57" s="34"/>
    </row>
    <row r="58" spans="1:7" x14ac:dyDescent="0.25">
      <c r="A58" s="34">
        <v>32</v>
      </c>
      <c r="B58" s="34"/>
      <c r="C58" s="34"/>
      <c r="D58" s="36"/>
      <c r="E58" s="37"/>
      <c r="F58" s="38">
        <f t="shared" si="2"/>
        <v>0</v>
      </c>
      <c r="G58" s="34"/>
    </row>
    <row r="59" spans="1:7" x14ac:dyDescent="0.25">
      <c r="A59" s="34">
        <v>33</v>
      </c>
      <c r="B59" s="34"/>
      <c r="C59" s="34"/>
      <c r="D59" s="36"/>
      <c r="E59" s="37"/>
      <c r="F59" s="38">
        <f t="shared" si="2"/>
        <v>0</v>
      </c>
      <c r="G59" s="34"/>
    </row>
    <row r="60" spans="1:7" x14ac:dyDescent="0.25">
      <c r="A60" s="34">
        <v>34</v>
      </c>
      <c r="B60" s="34"/>
      <c r="C60" s="34"/>
      <c r="D60" s="36"/>
      <c r="E60" s="37"/>
      <c r="F60" s="38">
        <f t="shared" ref="F60:F91" si="3">IFERROR(VLOOKUP(D60,usecase_multi,2,FALSE),)</f>
        <v>0</v>
      </c>
      <c r="G60" s="34"/>
    </row>
    <row r="61" spans="1:7" x14ac:dyDescent="0.25">
      <c r="A61" s="34">
        <v>35</v>
      </c>
      <c r="B61" s="34"/>
      <c r="C61" s="34"/>
      <c r="D61" s="36"/>
      <c r="E61" s="37"/>
      <c r="F61" s="38">
        <f t="shared" si="3"/>
        <v>0</v>
      </c>
      <c r="G61" s="34"/>
    </row>
    <row r="62" spans="1:7" x14ac:dyDescent="0.25">
      <c r="A62" s="34">
        <v>36</v>
      </c>
      <c r="B62" s="34"/>
      <c r="C62" s="34"/>
      <c r="D62" s="36"/>
      <c r="E62" s="37"/>
      <c r="F62" s="38">
        <f t="shared" si="3"/>
        <v>0</v>
      </c>
      <c r="G62" s="34"/>
    </row>
    <row r="63" spans="1:7" x14ac:dyDescent="0.25">
      <c r="A63" s="34">
        <v>37</v>
      </c>
      <c r="B63" s="34"/>
      <c r="C63" s="34"/>
      <c r="D63" s="36"/>
      <c r="E63" s="37"/>
      <c r="F63" s="38">
        <f t="shared" si="3"/>
        <v>0</v>
      </c>
      <c r="G63" s="34"/>
    </row>
    <row r="64" spans="1:7" x14ac:dyDescent="0.25">
      <c r="A64" s="34">
        <v>38</v>
      </c>
      <c r="B64" s="34"/>
      <c r="C64" s="34"/>
      <c r="D64" s="36"/>
      <c r="E64" s="37"/>
      <c r="F64" s="38">
        <f t="shared" si="3"/>
        <v>0</v>
      </c>
      <c r="G64" s="34"/>
    </row>
    <row r="65" spans="1:7" x14ac:dyDescent="0.25">
      <c r="A65" s="34">
        <v>39</v>
      </c>
      <c r="B65" s="34"/>
      <c r="C65" s="34"/>
      <c r="D65" s="36"/>
      <c r="E65" s="37"/>
      <c r="F65" s="38">
        <f t="shared" si="3"/>
        <v>0</v>
      </c>
      <c r="G65" s="34"/>
    </row>
    <row r="66" spans="1:7" x14ac:dyDescent="0.25">
      <c r="A66" s="34">
        <v>40</v>
      </c>
      <c r="B66" s="34"/>
      <c r="C66" s="34"/>
      <c r="D66" s="36"/>
      <c r="E66" s="37"/>
      <c r="F66" s="38">
        <f t="shared" si="3"/>
        <v>0</v>
      </c>
      <c r="G66" s="34"/>
    </row>
    <row r="67" spans="1:7" x14ac:dyDescent="0.25">
      <c r="A67" s="34">
        <v>41</v>
      </c>
      <c r="B67" s="34"/>
      <c r="C67" s="34"/>
      <c r="D67" s="36"/>
      <c r="E67" s="37"/>
      <c r="F67" s="38">
        <f t="shared" si="3"/>
        <v>0</v>
      </c>
      <c r="G67" s="34"/>
    </row>
    <row r="68" spans="1:7" x14ac:dyDescent="0.25">
      <c r="A68" s="34">
        <v>42</v>
      </c>
      <c r="B68" s="34"/>
      <c r="C68" s="34"/>
      <c r="D68" s="36"/>
      <c r="E68" s="37"/>
      <c r="F68" s="38">
        <f t="shared" si="3"/>
        <v>0</v>
      </c>
      <c r="G68" s="34"/>
    </row>
    <row r="69" spans="1:7" x14ac:dyDescent="0.25">
      <c r="A69" s="34">
        <v>43</v>
      </c>
      <c r="B69" s="34"/>
      <c r="C69" s="34"/>
      <c r="D69" s="36"/>
      <c r="E69" s="37"/>
      <c r="F69" s="38">
        <f t="shared" si="3"/>
        <v>0</v>
      </c>
      <c r="G69" s="34"/>
    </row>
    <row r="70" spans="1:7" x14ac:dyDescent="0.25">
      <c r="A70" s="34">
        <v>44</v>
      </c>
      <c r="B70" s="34"/>
      <c r="C70" s="34"/>
      <c r="D70" s="36"/>
      <c r="E70" s="37"/>
      <c r="F70" s="38">
        <f t="shared" si="3"/>
        <v>0</v>
      </c>
      <c r="G70" s="34"/>
    </row>
    <row r="71" spans="1:7" x14ac:dyDescent="0.25">
      <c r="A71" s="34">
        <v>45</v>
      </c>
      <c r="B71" s="34"/>
      <c r="C71" s="34"/>
      <c r="D71" s="36"/>
      <c r="E71" s="37"/>
      <c r="F71" s="38">
        <f t="shared" si="3"/>
        <v>0</v>
      </c>
      <c r="G71" s="34"/>
    </row>
    <row r="72" spans="1:7" x14ac:dyDescent="0.25">
      <c r="A72" s="34">
        <v>46</v>
      </c>
      <c r="B72" s="34"/>
      <c r="C72" s="34"/>
      <c r="D72" s="36"/>
      <c r="E72" s="37"/>
      <c r="F72" s="38">
        <f t="shared" si="3"/>
        <v>0</v>
      </c>
      <c r="G72" s="34"/>
    </row>
    <row r="73" spans="1:7" x14ac:dyDescent="0.25">
      <c r="A73" s="34">
        <v>47</v>
      </c>
      <c r="B73" s="34"/>
      <c r="C73" s="34"/>
      <c r="D73" s="36"/>
      <c r="E73" s="37"/>
      <c r="F73" s="38">
        <f t="shared" si="3"/>
        <v>0</v>
      </c>
      <c r="G73" s="34"/>
    </row>
    <row r="74" spans="1:7" x14ac:dyDescent="0.25">
      <c r="A74" s="34">
        <v>48</v>
      </c>
      <c r="B74" s="34"/>
      <c r="C74" s="34"/>
      <c r="D74" s="36"/>
      <c r="E74" s="37"/>
      <c r="F74" s="38">
        <f t="shared" si="3"/>
        <v>0</v>
      </c>
      <c r="G74" s="34"/>
    </row>
    <row r="75" spans="1:7" x14ac:dyDescent="0.25">
      <c r="A75" s="34">
        <v>49</v>
      </c>
      <c r="B75" s="34"/>
      <c r="C75" s="34"/>
      <c r="D75" s="36"/>
      <c r="E75" s="37"/>
      <c r="F75" s="38">
        <f t="shared" si="3"/>
        <v>0</v>
      </c>
      <c r="G75" s="34"/>
    </row>
    <row r="76" spans="1:7" x14ac:dyDescent="0.25">
      <c r="A76" s="34">
        <v>50</v>
      </c>
      <c r="B76" s="34"/>
      <c r="C76" s="34"/>
      <c r="D76" s="36"/>
      <c r="E76" s="37"/>
      <c r="F76" s="38">
        <f t="shared" si="3"/>
        <v>0</v>
      </c>
      <c r="G76" s="34"/>
    </row>
    <row r="77" spans="1:7" x14ac:dyDescent="0.25">
      <c r="A77" s="34">
        <v>51</v>
      </c>
      <c r="B77" s="34"/>
      <c r="C77" s="34"/>
      <c r="D77" s="36"/>
      <c r="E77" s="37"/>
      <c r="F77" s="38">
        <f t="shared" si="3"/>
        <v>0</v>
      </c>
      <c r="G77" s="34"/>
    </row>
    <row r="78" spans="1:7" x14ac:dyDescent="0.25">
      <c r="A78" s="34">
        <v>52</v>
      </c>
      <c r="B78" s="34"/>
      <c r="C78" s="34"/>
      <c r="D78" s="36"/>
      <c r="E78" s="37"/>
      <c r="F78" s="38">
        <f t="shared" si="3"/>
        <v>0</v>
      </c>
      <c r="G78" s="34"/>
    </row>
    <row r="79" spans="1:7" x14ac:dyDescent="0.25">
      <c r="A79" s="34">
        <v>53</v>
      </c>
      <c r="B79" s="34"/>
      <c r="C79" s="34"/>
      <c r="D79" s="36"/>
      <c r="E79" s="37"/>
      <c r="F79" s="38">
        <f t="shared" si="3"/>
        <v>0</v>
      </c>
      <c r="G79" s="34"/>
    </row>
    <row r="80" spans="1:7" x14ac:dyDescent="0.25">
      <c r="A80" s="34">
        <v>54</v>
      </c>
      <c r="B80" s="34"/>
      <c r="C80" s="34"/>
      <c r="D80" s="36"/>
      <c r="E80" s="37"/>
      <c r="F80" s="38">
        <f t="shared" si="3"/>
        <v>0</v>
      </c>
      <c r="G80" s="34"/>
    </row>
    <row r="81" spans="1:7" x14ac:dyDescent="0.25">
      <c r="A81" s="34">
        <v>55</v>
      </c>
      <c r="B81" s="34"/>
      <c r="C81" s="34"/>
      <c r="D81" s="36"/>
      <c r="E81" s="37"/>
      <c r="F81" s="38">
        <f t="shared" si="3"/>
        <v>0</v>
      </c>
      <c r="G81" s="34"/>
    </row>
    <row r="82" spans="1:7" x14ac:dyDescent="0.25">
      <c r="A82" s="34">
        <v>56</v>
      </c>
      <c r="B82" s="34"/>
      <c r="C82" s="34"/>
      <c r="D82" s="36"/>
      <c r="E82" s="37"/>
      <c r="F82" s="38">
        <f t="shared" si="3"/>
        <v>0</v>
      </c>
      <c r="G82" s="34"/>
    </row>
    <row r="83" spans="1:7" x14ac:dyDescent="0.25">
      <c r="A83" s="34">
        <v>57</v>
      </c>
      <c r="B83" s="34"/>
      <c r="C83" s="34"/>
      <c r="D83" s="36"/>
      <c r="E83" s="37"/>
      <c r="F83" s="38">
        <f t="shared" si="3"/>
        <v>0</v>
      </c>
      <c r="G83" s="34"/>
    </row>
    <row r="84" spans="1:7" x14ac:dyDescent="0.25">
      <c r="A84" s="34">
        <v>58</v>
      </c>
      <c r="B84" s="34"/>
      <c r="C84" s="34"/>
      <c r="D84" s="36"/>
      <c r="E84" s="37"/>
      <c r="F84" s="38">
        <f t="shared" si="3"/>
        <v>0</v>
      </c>
      <c r="G84" s="34"/>
    </row>
    <row r="85" spans="1:7" x14ac:dyDescent="0.25">
      <c r="A85" s="34">
        <v>59</v>
      </c>
      <c r="B85" s="34"/>
      <c r="C85" s="34"/>
      <c r="D85" s="36"/>
      <c r="E85" s="37"/>
      <c r="F85" s="38">
        <f t="shared" si="3"/>
        <v>0</v>
      </c>
      <c r="G85" s="34"/>
    </row>
    <row r="86" spans="1:7" x14ac:dyDescent="0.25">
      <c r="A86" s="34">
        <v>60</v>
      </c>
      <c r="B86" s="34"/>
      <c r="C86" s="34"/>
      <c r="D86" s="36"/>
      <c r="E86" s="37"/>
      <c r="F86" s="38">
        <f t="shared" si="3"/>
        <v>0</v>
      </c>
      <c r="G86" s="34"/>
    </row>
    <row r="87" spans="1:7" x14ac:dyDescent="0.25">
      <c r="A87" s="34">
        <v>61</v>
      </c>
      <c r="B87" s="34"/>
      <c r="C87" s="34"/>
      <c r="D87" s="36"/>
      <c r="E87" s="37"/>
      <c r="F87" s="38">
        <f t="shared" si="3"/>
        <v>0</v>
      </c>
      <c r="G87" s="34"/>
    </row>
    <row r="88" spans="1:7" x14ac:dyDescent="0.25">
      <c r="A88" s="34">
        <v>62</v>
      </c>
      <c r="B88" s="34"/>
      <c r="C88" s="34"/>
      <c r="D88" s="36"/>
      <c r="E88" s="37"/>
      <c r="F88" s="38">
        <f t="shared" si="3"/>
        <v>0</v>
      </c>
      <c r="G88" s="34"/>
    </row>
    <row r="89" spans="1:7" x14ac:dyDescent="0.25">
      <c r="A89" s="34">
        <v>63</v>
      </c>
      <c r="B89" s="34"/>
      <c r="C89" s="34"/>
      <c r="D89" s="36"/>
      <c r="E89" s="37"/>
      <c r="F89" s="38">
        <f t="shared" si="3"/>
        <v>0</v>
      </c>
      <c r="G89" s="34"/>
    </row>
    <row r="90" spans="1:7" x14ac:dyDescent="0.25">
      <c r="A90" s="34">
        <v>64</v>
      </c>
      <c r="B90" s="34"/>
      <c r="C90" s="34"/>
      <c r="D90" s="36"/>
      <c r="E90" s="37"/>
      <c r="F90" s="38">
        <f t="shared" si="3"/>
        <v>0</v>
      </c>
      <c r="G90" s="34"/>
    </row>
    <row r="91" spans="1:7" x14ac:dyDescent="0.25">
      <c r="A91" s="34">
        <v>65</v>
      </c>
      <c r="B91" s="34"/>
      <c r="C91" s="34"/>
      <c r="D91" s="36"/>
      <c r="E91" s="37"/>
      <c r="F91" s="38">
        <f t="shared" si="3"/>
        <v>0</v>
      </c>
      <c r="G91" s="34"/>
    </row>
    <row r="92" spans="1:7" x14ac:dyDescent="0.25">
      <c r="A92" s="34">
        <v>66</v>
      </c>
      <c r="B92" s="34"/>
      <c r="C92" s="34"/>
      <c r="D92" s="36"/>
      <c r="E92" s="37"/>
      <c r="F92" s="38">
        <f t="shared" ref="F92:F106" si="4">IFERROR(VLOOKUP(D92,usecase_multi,2,FALSE),)</f>
        <v>0</v>
      </c>
      <c r="G92" s="34"/>
    </row>
    <row r="93" spans="1:7" x14ac:dyDescent="0.25">
      <c r="A93" s="34">
        <v>67</v>
      </c>
      <c r="B93" s="34"/>
      <c r="C93" s="34"/>
      <c r="D93" s="36"/>
      <c r="E93" s="37"/>
      <c r="F93" s="38">
        <f t="shared" si="4"/>
        <v>0</v>
      </c>
      <c r="G93" s="34"/>
    </row>
    <row r="94" spans="1:7" x14ac:dyDescent="0.25">
      <c r="A94" s="34">
        <v>68</v>
      </c>
      <c r="B94" s="34"/>
      <c r="C94" s="34"/>
      <c r="D94" s="36"/>
      <c r="E94" s="37"/>
      <c r="F94" s="38">
        <f t="shared" si="4"/>
        <v>0</v>
      </c>
      <c r="G94" s="34"/>
    </row>
    <row r="95" spans="1:7" x14ac:dyDescent="0.25">
      <c r="A95" s="34">
        <v>69</v>
      </c>
      <c r="B95" s="34"/>
      <c r="C95" s="34"/>
      <c r="D95" s="36"/>
      <c r="E95" s="37"/>
      <c r="F95" s="38">
        <f t="shared" si="4"/>
        <v>0</v>
      </c>
      <c r="G95" s="34"/>
    </row>
    <row r="96" spans="1:7" x14ac:dyDescent="0.25">
      <c r="A96" s="34">
        <v>70</v>
      </c>
      <c r="B96" s="34"/>
      <c r="C96" s="34"/>
      <c r="D96" s="36"/>
      <c r="E96" s="37"/>
      <c r="F96" s="38">
        <f t="shared" si="4"/>
        <v>0</v>
      </c>
      <c r="G96" s="34"/>
    </row>
    <row r="97" spans="1:7" x14ac:dyDescent="0.25">
      <c r="A97" s="34">
        <v>71</v>
      </c>
      <c r="B97" s="34"/>
      <c r="C97" s="34"/>
      <c r="D97" s="36"/>
      <c r="E97" s="37"/>
      <c r="F97" s="38">
        <f t="shared" si="4"/>
        <v>0</v>
      </c>
      <c r="G97" s="34"/>
    </row>
    <row r="98" spans="1:7" x14ac:dyDescent="0.25">
      <c r="A98" s="34">
        <v>72</v>
      </c>
      <c r="B98" s="34"/>
      <c r="C98" s="34"/>
      <c r="D98" s="36"/>
      <c r="E98" s="37"/>
      <c r="F98" s="38">
        <f t="shared" si="4"/>
        <v>0</v>
      </c>
      <c r="G98" s="34"/>
    </row>
    <row r="99" spans="1:7" x14ac:dyDescent="0.25">
      <c r="A99" s="34">
        <v>73</v>
      </c>
      <c r="B99" s="34"/>
      <c r="C99" s="34"/>
      <c r="D99" s="36"/>
      <c r="E99" s="37"/>
      <c r="F99" s="38">
        <f t="shared" si="4"/>
        <v>0</v>
      </c>
      <c r="G99" s="34"/>
    </row>
    <row r="100" spans="1:7" x14ac:dyDescent="0.25">
      <c r="A100" s="34">
        <v>74</v>
      </c>
      <c r="B100" s="34"/>
      <c r="C100" s="34"/>
      <c r="D100" s="36"/>
      <c r="E100" s="37"/>
      <c r="F100" s="38">
        <f t="shared" si="4"/>
        <v>0</v>
      </c>
      <c r="G100" s="34"/>
    </row>
    <row r="101" spans="1:7" x14ac:dyDescent="0.25">
      <c r="A101" s="34">
        <v>75</v>
      </c>
      <c r="B101" s="34"/>
      <c r="C101" s="34"/>
      <c r="D101" s="36"/>
      <c r="E101" s="37"/>
      <c r="F101" s="38">
        <f t="shared" si="4"/>
        <v>0</v>
      </c>
      <c r="G101" s="34"/>
    </row>
    <row r="102" spans="1:7" x14ac:dyDescent="0.25">
      <c r="A102" s="34">
        <v>76</v>
      </c>
      <c r="B102" s="34"/>
      <c r="C102" s="34"/>
      <c r="D102" s="36"/>
      <c r="E102" s="37"/>
      <c r="F102" s="38">
        <f t="shared" si="4"/>
        <v>0</v>
      </c>
      <c r="G102" s="34"/>
    </row>
    <row r="103" spans="1:7" x14ac:dyDescent="0.25">
      <c r="A103" s="34">
        <v>77</v>
      </c>
      <c r="B103" s="34"/>
      <c r="C103" s="34"/>
      <c r="D103" s="36"/>
      <c r="E103" s="37"/>
      <c r="F103" s="38">
        <f t="shared" si="4"/>
        <v>0</v>
      </c>
      <c r="G103" s="34"/>
    </row>
    <row r="104" spans="1:7" x14ac:dyDescent="0.25">
      <c r="A104" s="34">
        <v>78</v>
      </c>
      <c r="B104" s="34"/>
      <c r="C104" s="34"/>
      <c r="D104" s="36"/>
      <c r="E104" s="37"/>
      <c r="F104" s="38">
        <f t="shared" si="4"/>
        <v>0</v>
      </c>
      <c r="G104" s="34"/>
    </row>
    <row r="105" spans="1:7" x14ac:dyDescent="0.25">
      <c r="A105" s="34">
        <v>79</v>
      </c>
      <c r="B105" s="34"/>
      <c r="C105" s="34"/>
      <c r="D105" s="36"/>
      <c r="E105" s="37"/>
      <c r="F105" s="38">
        <f t="shared" si="4"/>
        <v>0</v>
      </c>
      <c r="G105" s="34"/>
    </row>
    <row r="106" spans="1:7" x14ac:dyDescent="0.25">
      <c r="A106" s="34">
        <v>80</v>
      </c>
      <c r="B106" s="34"/>
      <c r="C106" s="34"/>
      <c r="D106" s="36"/>
      <c r="E106" s="37"/>
      <c r="F106" s="38">
        <f t="shared" si="4"/>
        <v>0</v>
      </c>
      <c r="G106" s="34"/>
    </row>
  </sheetData>
  <mergeCells count="19">
    <mergeCell ref="F20:G20"/>
    <mergeCell ref="F21:G21"/>
    <mergeCell ref="F22:G22"/>
    <mergeCell ref="B1:F1"/>
    <mergeCell ref="B3:D3"/>
    <mergeCell ref="A11:C11"/>
    <mergeCell ref="F12:G12"/>
    <mergeCell ref="F13:G13"/>
    <mergeCell ref="F14:G14"/>
    <mergeCell ref="F15:G15"/>
    <mergeCell ref="F16:G16"/>
    <mergeCell ref="F17:G17"/>
    <mergeCell ref="F18:G18"/>
    <mergeCell ref="F19:G19"/>
    <mergeCell ref="A25:C25"/>
    <mergeCell ref="A5:C5"/>
    <mergeCell ref="A6:C6"/>
    <mergeCell ref="A7:C7"/>
    <mergeCell ref="A8:C8"/>
  </mergeCells>
  <dataValidations count="4">
    <dataValidation type="list" allowBlank="1" showInputMessage="1" showErrorMessage="1" sqref="C13:C22">
      <formula1>actor_diff</formula1>
    </dataValidation>
    <dataValidation type="list" allowBlank="1" showInputMessage="1" showErrorMessage="1" sqref="D27:D106">
      <formula1>usecase_diff</formula1>
    </dataValidation>
    <dataValidation type="list" allowBlank="1" showInputMessage="1" showErrorMessage="1" sqref="E13:E22">
      <formula1>"Human,System,Hardware,Timer"</formula1>
    </dataValidation>
    <dataValidation type="list" allowBlank="1" showInputMessage="1" showErrorMessage="1" sqref="E27:E106">
      <formula1>priority_list</formula1>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4"/>
  <sheetViews>
    <sheetView workbookViewId="0">
      <selection activeCell="B21" sqref="B21"/>
    </sheetView>
  </sheetViews>
  <sheetFormatPr defaultColWidth="8.77734375" defaultRowHeight="13.2" x14ac:dyDescent="0.25"/>
  <cols>
    <col min="1" max="1" width="50.77734375" bestFit="1" customWidth="1"/>
    <col min="2" max="2" width="11.44140625" customWidth="1"/>
    <col min="3" max="3" width="12" bestFit="1" customWidth="1"/>
    <col min="4" max="4" width="6.6640625" bestFit="1" customWidth="1"/>
    <col min="5" max="5" width="5.77734375" bestFit="1" customWidth="1"/>
  </cols>
  <sheetData>
    <row r="1" spans="1:4" x14ac:dyDescent="0.25">
      <c r="A1" s="1"/>
    </row>
    <row r="2" spans="1:4" x14ac:dyDescent="0.25">
      <c r="A2" s="5" t="s">
        <v>34</v>
      </c>
      <c r="B2" s="6" t="s">
        <v>4</v>
      </c>
      <c r="C2" s="6" t="s">
        <v>36</v>
      </c>
      <c r="D2" s="6" t="s">
        <v>5</v>
      </c>
    </row>
    <row r="3" spans="1:4" x14ac:dyDescent="0.25">
      <c r="A3" s="2" t="s">
        <v>7</v>
      </c>
      <c r="B3" s="2">
        <v>2</v>
      </c>
      <c r="C3" s="16">
        <v>5</v>
      </c>
      <c r="D3" s="2">
        <f t="shared" ref="D3:D14" si="0">B3*C3</f>
        <v>10</v>
      </c>
    </row>
    <row r="4" spans="1:4" x14ac:dyDescent="0.25">
      <c r="A4" s="2" t="s">
        <v>8</v>
      </c>
      <c r="B4" s="2">
        <v>1</v>
      </c>
      <c r="C4" s="16">
        <v>4</v>
      </c>
      <c r="D4" s="2">
        <f t="shared" si="0"/>
        <v>4</v>
      </c>
    </row>
    <row r="5" spans="1:4" x14ac:dyDescent="0.25">
      <c r="A5" s="2" t="s">
        <v>9</v>
      </c>
      <c r="B5" s="2">
        <v>1</v>
      </c>
      <c r="C5" s="16">
        <v>3</v>
      </c>
      <c r="D5" s="2">
        <f t="shared" si="0"/>
        <v>3</v>
      </c>
    </row>
    <row r="6" spans="1:4" x14ac:dyDescent="0.25">
      <c r="A6" s="2" t="s">
        <v>10</v>
      </c>
      <c r="B6" s="2">
        <v>1</v>
      </c>
      <c r="C6" s="16">
        <v>3</v>
      </c>
      <c r="D6" s="2">
        <f t="shared" si="0"/>
        <v>3</v>
      </c>
    </row>
    <row r="7" spans="1:4" x14ac:dyDescent="0.25">
      <c r="A7" s="2" t="s">
        <v>11</v>
      </c>
      <c r="B7" s="2">
        <v>1</v>
      </c>
      <c r="C7" s="16">
        <v>4</v>
      </c>
      <c r="D7" s="2">
        <f t="shared" si="0"/>
        <v>4</v>
      </c>
    </row>
    <row r="8" spans="1:4" x14ac:dyDescent="0.25">
      <c r="A8" s="2" t="s">
        <v>12</v>
      </c>
      <c r="B8" s="2">
        <v>0.5</v>
      </c>
      <c r="C8" s="16">
        <v>4</v>
      </c>
      <c r="D8" s="2">
        <f t="shared" si="0"/>
        <v>2</v>
      </c>
    </row>
    <row r="9" spans="1:4" x14ac:dyDescent="0.25">
      <c r="A9" s="2" t="s">
        <v>13</v>
      </c>
      <c r="B9" s="2">
        <v>0.5</v>
      </c>
      <c r="C9" s="16">
        <v>4</v>
      </c>
      <c r="D9" s="2">
        <f t="shared" si="0"/>
        <v>2</v>
      </c>
    </row>
    <row r="10" spans="1:4" x14ac:dyDescent="0.25">
      <c r="A10" s="2" t="s">
        <v>14</v>
      </c>
      <c r="B10" s="2">
        <v>2</v>
      </c>
      <c r="C10" s="16">
        <v>3</v>
      </c>
      <c r="D10" s="2">
        <f t="shared" si="0"/>
        <v>6</v>
      </c>
    </row>
    <row r="11" spans="1:4" x14ac:dyDescent="0.25">
      <c r="A11" s="2" t="s">
        <v>15</v>
      </c>
      <c r="B11" s="2">
        <v>1</v>
      </c>
      <c r="C11" s="16">
        <v>4</v>
      </c>
      <c r="D11" s="2">
        <f t="shared" si="0"/>
        <v>4</v>
      </c>
    </row>
    <row r="12" spans="1:4" x14ac:dyDescent="0.25">
      <c r="A12" s="2" t="s">
        <v>16</v>
      </c>
      <c r="B12" s="2">
        <v>1</v>
      </c>
      <c r="C12" s="16">
        <v>3</v>
      </c>
      <c r="D12" s="2">
        <f t="shared" si="0"/>
        <v>3</v>
      </c>
    </row>
    <row r="13" spans="1:4" x14ac:dyDescent="0.25">
      <c r="A13" s="2" t="s">
        <v>17</v>
      </c>
      <c r="B13" s="2">
        <v>1</v>
      </c>
      <c r="C13" s="16">
        <v>3</v>
      </c>
      <c r="D13" s="2">
        <f t="shared" si="0"/>
        <v>3</v>
      </c>
    </row>
    <row r="14" spans="1:4" x14ac:dyDescent="0.25">
      <c r="A14" s="2" t="s">
        <v>18</v>
      </c>
      <c r="B14" s="2">
        <v>1</v>
      </c>
      <c r="C14" s="16">
        <v>3</v>
      </c>
      <c r="D14" s="2">
        <f t="shared" si="0"/>
        <v>3</v>
      </c>
    </row>
    <row r="15" spans="1:4" x14ac:dyDescent="0.25">
      <c r="A15" s="2" t="s">
        <v>6</v>
      </c>
      <c r="B15" s="2">
        <v>1</v>
      </c>
      <c r="C15" s="16">
        <v>3</v>
      </c>
      <c r="D15" s="2">
        <f>B15*C15</f>
        <v>3</v>
      </c>
    </row>
    <row r="16" spans="1:4" x14ac:dyDescent="0.25">
      <c r="A16" s="7" t="s">
        <v>29</v>
      </c>
      <c r="B16" s="7"/>
      <c r="C16" s="7"/>
      <c r="D16" s="7">
        <f>SUM(D3:D15)</f>
        <v>50</v>
      </c>
    </row>
    <row r="17" spans="1:5" x14ac:dyDescent="0.25">
      <c r="A17" s="2" t="s">
        <v>30</v>
      </c>
      <c r="B17" s="2"/>
      <c r="C17" s="2"/>
      <c r="D17" s="3">
        <v>0.6</v>
      </c>
    </row>
    <row r="18" spans="1:5" x14ac:dyDescent="0.25">
      <c r="A18" s="2" t="s">
        <v>31</v>
      </c>
      <c r="B18" s="2"/>
      <c r="C18" s="2"/>
      <c r="D18" s="2">
        <v>0.01</v>
      </c>
    </row>
    <row r="19" spans="1:5" x14ac:dyDescent="0.25">
      <c r="A19" s="7" t="s">
        <v>32</v>
      </c>
      <c r="B19" s="7"/>
      <c r="C19" s="7"/>
      <c r="D19" s="21">
        <f>D17+(D18*D16)</f>
        <v>1.1000000000000001</v>
      </c>
    </row>
    <row r="21" spans="1:5" x14ac:dyDescent="0.25">
      <c r="A21" s="5" t="s">
        <v>35</v>
      </c>
      <c r="B21" s="6" t="s">
        <v>4</v>
      </c>
      <c r="C21" s="6" t="s">
        <v>37</v>
      </c>
      <c r="D21" s="6" t="s">
        <v>5</v>
      </c>
      <c r="E21" s="4" t="s">
        <v>38</v>
      </c>
    </row>
    <row r="22" spans="1:5" x14ac:dyDescent="0.25">
      <c r="A22" s="2" t="s">
        <v>20</v>
      </c>
      <c r="B22" s="2">
        <v>1.5</v>
      </c>
      <c r="C22" s="16">
        <v>3</v>
      </c>
      <c r="D22" s="2">
        <f>B22*C22</f>
        <v>4.5</v>
      </c>
    </row>
    <row r="23" spans="1:5" x14ac:dyDescent="0.25">
      <c r="A23" s="3" t="s">
        <v>21</v>
      </c>
      <c r="B23" s="3">
        <v>-1</v>
      </c>
      <c r="C23" s="16">
        <v>3</v>
      </c>
      <c r="D23" s="2">
        <f t="shared" ref="D23:D29" si="1">B23*C23</f>
        <v>-3</v>
      </c>
    </row>
    <row r="24" spans="1:5" x14ac:dyDescent="0.25">
      <c r="A24" s="2" t="s">
        <v>22</v>
      </c>
      <c r="B24" s="2">
        <v>0.5</v>
      </c>
      <c r="C24" s="16">
        <v>3</v>
      </c>
      <c r="D24" s="2">
        <f t="shared" si="1"/>
        <v>1.5</v>
      </c>
    </row>
    <row r="25" spans="1:5" x14ac:dyDescent="0.25">
      <c r="A25" s="2" t="s">
        <v>23</v>
      </c>
      <c r="B25" s="2">
        <v>0.5</v>
      </c>
      <c r="C25" s="16">
        <v>3</v>
      </c>
      <c r="D25" s="2">
        <f t="shared" si="1"/>
        <v>1.5</v>
      </c>
    </row>
    <row r="26" spans="1:5" x14ac:dyDescent="0.25">
      <c r="A26" s="2" t="s">
        <v>24</v>
      </c>
      <c r="B26" s="2">
        <v>1</v>
      </c>
      <c r="C26" s="16">
        <v>3</v>
      </c>
      <c r="D26" s="2">
        <f t="shared" si="1"/>
        <v>3</v>
      </c>
    </row>
    <row r="27" spans="1:5" x14ac:dyDescent="0.25">
      <c r="A27" s="2" t="s">
        <v>25</v>
      </c>
      <c r="B27" s="2">
        <v>1</v>
      </c>
      <c r="C27" s="16">
        <v>3</v>
      </c>
      <c r="D27" s="2">
        <f t="shared" si="1"/>
        <v>3</v>
      </c>
    </row>
    <row r="28" spans="1:5" x14ac:dyDescent="0.25">
      <c r="A28" s="2" t="s">
        <v>26</v>
      </c>
      <c r="B28" s="2">
        <v>-1</v>
      </c>
      <c r="C28" s="16">
        <v>3</v>
      </c>
      <c r="D28" s="2">
        <f t="shared" si="1"/>
        <v>-3</v>
      </c>
    </row>
    <row r="29" spans="1:5" x14ac:dyDescent="0.25">
      <c r="A29" s="2" t="s">
        <v>19</v>
      </c>
      <c r="B29" s="2">
        <v>2</v>
      </c>
      <c r="C29" s="16">
        <v>3</v>
      </c>
      <c r="D29" s="2">
        <f t="shared" si="1"/>
        <v>6</v>
      </c>
    </row>
    <row r="30" spans="1:5" x14ac:dyDescent="0.25">
      <c r="A30" s="2" t="s">
        <v>27</v>
      </c>
      <c r="B30" s="2"/>
      <c r="C30" s="2"/>
      <c r="D30" s="2">
        <f>SUM(D22:D29)</f>
        <v>13.5</v>
      </c>
    </row>
    <row r="31" spans="1:5" x14ac:dyDescent="0.25">
      <c r="A31" s="2" t="s">
        <v>33</v>
      </c>
      <c r="B31" s="2"/>
      <c r="C31" s="2"/>
      <c r="D31" s="21">
        <f>1.4+(-0.03*D30)</f>
        <v>0.99499999999999988</v>
      </c>
    </row>
    <row r="32" spans="1:5" x14ac:dyDescent="0.25">
      <c r="A32" s="2" t="s">
        <v>28</v>
      </c>
      <c r="B32" s="2"/>
      <c r="C32" s="2"/>
      <c r="D32" s="15">
        <v>8</v>
      </c>
      <c r="E32" t="s">
        <v>91</v>
      </c>
    </row>
    <row r="33" spans="1:3" x14ac:dyDescent="0.25">
      <c r="A33" s="11" t="s">
        <v>75</v>
      </c>
      <c r="C33" s="22">
        <f>(uaw+uucw)*tcf*ecf</f>
        <v>10.944999999999999</v>
      </c>
    </row>
    <row r="34" spans="1:3" x14ac:dyDescent="0.25">
      <c r="A34" s="11" t="s">
        <v>76</v>
      </c>
      <c r="C34" s="23">
        <f>ucp*D32</f>
        <v>87.559999999999988</v>
      </c>
    </row>
  </sheetData>
  <phoneticPr fontId="1" type="noConversion"/>
  <pageMargins left="0.75" right="0.75" top="1" bottom="1" header="0" footer="0"/>
  <pageSetup paperSize="9" orientation="portrait" horizontalDpi="4294967293" verticalDpi="4294967293"/>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22"/>
  <sheetViews>
    <sheetView workbookViewId="0">
      <selection activeCell="A10" sqref="A10"/>
    </sheetView>
  </sheetViews>
  <sheetFormatPr defaultRowHeight="13.2" x14ac:dyDescent="0.25"/>
  <cols>
    <col min="1" max="1" width="7.109375" customWidth="1"/>
    <col min="2" max="2" width="18.6640625" customWidth="1"/>
    <col min="4" max="4" width="55.44140625" customWidth="1"/>
  </cols>
  <sheetData>
    <row r="2" spans="1:7" x14ac:dyDescent="0.25">
      <c r="A2" s="12" t="s">
        <v>55</v>
      </c>
    </row>
    <row r="4" spans="1:7" x14ac:dyDescent="0.25">
      <c r="A4" s="10" t="s">
        <v>44</v>
      </c>
      <c r="B4" s="10" t="s">
        <v>43</v>
      </c>
      <c r="C4" s="10" t="s">
        <v>39</v>
      </c>
      <c r="D4" s="10" t="s">
        <v>3</v>
      </c>
    </row>
    <row r="5" spans="1:7" ht="79.2" x14ac:dyDescent="0.25">
      <c r="A5">
        <v>1</v>
      </c>
      <c r="B5" t="s">
        <v>0</v>
      </c>
      <c r="C5" s="12">
        <v>1</v>
      </c>
      <c r="D5" s="8" t="s">
        <v>40</v>
      </c>
    </row>
    <row r="6" spans="1:7" ht="39.6" x14ac:dyDescent="0.25">
      <c r="A6">
        <v>2</v>
      </c>
      <c r="B6" t="s">
        <v>1</v>
      </c>
      <c r="C6" s="12">
        <v>2</v>
      </c>
      <c r="D6" s="8" t="s">
        <v>41</v>
      </c>
    </row>
    <row r="7" spans="1:7" ht="92.4" x14ac:dyDescent="0.25">
      <c r="A7">
        <v>3</v>
      </c>
      <c r="B7" t="s">
        <v>2</v>
      </c>
      <c r="C7" s="12">
        <v>3</v>
      </c>
      <c r="D7" s="8" t="s">
        <v>42</v>
      </c>
    </row>
    <row r="9" spans="1:7" x14ac:dyDescent="0.25">
      <c r="A9" s="12" t="s">
        <v>61</v>
      </c>
    </row>
    <row r="11" spans="1:7" x14ac:dyDescent="0.25">
      <c r="A11" s="9" t="s">
        <v>44</v>
      </c>
      <c r="B11" s="9" t="s">
        <v>43</v>
      </c>
      <c r="C11" s="9" t="s">
        <v>39</v>
      </c>
      <c r="D11" s="17" t="s">
        <v>3</v>
      </c>
      <c r="G11" s="11"/>
    </row>
    <row r="12" spans="1:7" x14ac:dyDescent="0.25">
      <c r="A12">
        <v>1</v>
      </c>
      <c r="B12" t="s">
        <v>0</v>
      </c>
      <c r="C12" s="12">
        <v>5</v>
      </c>
      <c r="D12" t="s">
        <v>45</v>
      </c>
      <c r="G12" s="11"/>
    </row>
    <row r="13" spans="1:7" x14ac:dyDescent="0.25">
      <c r="A13">
        <v>2</v>
      </c>
      <c r="B13" t="s">
        <v>1</v>
      </c>
      <c r="C13" s="12">
        <v>10</v>
      </c>
      <c r="D13" t="s">
        <v>46</v>
      </c>
    </row>
    <row r="14" spans="1:7" x14ac:dyDescent="0.25">
      <c r="A14">
        <v>3</v>
      </c>
      <c r="B14" t="s">
        <v>2</v>
      </c>
      <c r="C14" s="12">
        <v>15</v>
      </c>
      <c r="D14" t="s">
        <v>47</v>
      </c>
    </row>
    <row r="16" spans="1:7" x14ac:dyDescent="0.25">
      <c r="A16" s="12" t="s">
        <v>62</v>
      </c>
    </row>
    <row r="18" spans="1:4" x14ac:dyDescent="0.25">
      <c r="A18" s="17" t="s">
        <v>44</v>
      </c>
      <c r="B18" s="17" t="s">
        <v>63</v>
      </c>
      <c r="C18" s="17" t="s">
        <v>60</v>
      </c>
      <c r="D18" s="17" t="s">
        <v>3</v>
      </c>
    </row>
    <row r="19" spans="1:4" ht="52.8" x14ac:dyDescent="0.25">
      <c r="A19">
        <v>1</v>
      </c>
      <c r="B19" s="19" t="s">
        <v>64</v>
      </c>
      <c r="C19" s="20" t="s">
        <v>72</v>
      </c>
      <c r="D19" s="18" t="s">
        <v>68</v>
      </c>
    </row>
    <row r="20" spans="1:4" ht="26.4" x14ac:dyDescent="0.25">
      <c r="A20">
        <v>2</v>
      </c>
      <c r="B20" s="19" t="s">
        <v>65</v>
      </c>
      <c r="C20" s="20" t="s">
        <v>73</v>
      </c>
      <c r="D20" s="18" t="s">
        <v>69</v>
      </c>
    </row>
    <row r="21" spans="1:4" ht="39.6" x14ac:dyDescent="0.25">
      <c r="A21">
        <v>3</v>
      </c>
      <c r="B21" s="19" t="s">
        <v>66</v>
      </c>
      <c r="C21" s="20" t="s">
        <v>74</v>
      </c>
      <c r="D21" s="18" t="s">
        <v>70</v>
      </c>
    </row>
    <row r="22" spans="1:4" ht="39.6" x14ac:dyDescent="0.25">
      <c r="A22">
        <v>4</v>
      </c>
      <c r="B22" s="20" t="s">
        <v>67</v>
      </c>
      <c r="C22" s="20" t="s">
        <v>89</v>
      </c>
      <c r="D22" s="18" t="s">
        <v>71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14</vt:i4>
      </vt:variant>
    </vt:vector>
  </HeadingPairs>
  <TitlesOfParts>
    <vt:vector size="17" baseType="lpstr">
      <vt:lpstr>Actor-Usecase</vt:lpstr>
      <vt:lpstr>UCP Estimate</vt:lpstr>
      <vt:lpstr>References</vt:lpstr>
      <vt:lpstr>actor_diff</vt:lpstr>
      <vt:lpstr>actor_multi</vt:lpstr>
      <vt:lpstr>actor_name</vt:lpstr>
      <vt:lpstr>actor_table</vt:lpstr>
      <vt:lpstr>ecf</vt:lpstr>
      <vt:lpstr>effort</vt:lpstr>
      <vt:lpstr>moscow_list</vt:lpstr>
      <vt:lpstr>priority_list</vt:lpstr>
      <vt:lpstr>tcf</vt:lpstr>
      <vt:lpstr>uaw</vt:lpstr>
      <vt:lpstr>ucp</vt:lpstr>
      <vt:lpstr>usecase_diff</vt:lpstr>
      <vt:lpstr>usecase_multi</vt:lpstr>
      <vt:lpstr>uucw</vt:lpstr>
    </vt:vector>
  </TitlesOfParts>
  <Manager/>
  <Company>Project2 ApS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Use Case Point Estimate</dc:subject>
  <dc:creator>John Hansen</dc:creator>
  <cp:keywords/>
  <dc:description>www.allaboutrequirements.com</dc:description>
  <cp:lastModifiedBy>NhanDT2</cp:lastModifiedBy>
  <cp:lastPrinted>2007-03-22T08:34:29Z</cp:lastPrinted>
  <dcterms:created xsi:type="dcterms:W3CDTF">2006-08-30T14:45:48Z</dcterms:created>
  <dcterms:modified xsi:type="dcterms:W3CDTF">2022-10-24T02:15:34Z</dcterms:modified>
  <cp:category/>
</cp:coreProperties>
</file>